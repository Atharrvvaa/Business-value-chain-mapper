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D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<sst xmlns="http://schemas.openxmlformats.org/spreadsheetml/2006/main" count="297" uniqueCount="178">
  <si>
    <t xml:space="preserve">application_name</t>
  </si>
  <si>
    <t xml:space="preserve">vendor</t>
  </si>
  <si>
    <t xml:space="preserve">description</t>
  </si>
  <si>
    <t xml:space="preserve">business_owner</t>
  </si>
  <si>
    <t xml:space="preserve">product_name</t>
  </si>
  <si>
    <t xml:space="preserve">license_cost_annual</t>
  </si>
  <si>
    <t xml:space="preserve">maintenance_cost_annual</t>
  </si>
  <si>
    <t xml:space="preserve">total_annual_cost</t>
  </si>
  <si>
    <t xml:space="preserve">billing_cycle</t>
  </si>
  <si>
    <t xml:space="preserve">currency</t>
  </si>
  <si>
    <t xml:space="preserve">SAP ECC</t>
  </si>
  <si>
    <t xml:space="preserve">SAP</t>
  </si>
  <si>
    <t xml:space="preserve">Core ERP system for finance, procurement, and logistics operations across the enterprise.</t>
  </si>
  <si>
    <t xml:space="preserve">CFO Office</t>
  </si>
  <si>
    <t xml:space="preserve">SAP ERP</t>
  </si>
  <si>
    <t xml:space="preserve">Annual</t>
  </si>
  <si>
    <t xml:space="preserve">USD</t>
  </si>
  <si>
    <t xml:space="preserve">SAP S/4HANA Cloud</t>
  </si>
  <si>
    <t xml:space="preserve">Next-generation cloud ERP for finance, supply chain, and manufacturing.</t>
  </si>
  <si>
    <t xml:space="preserve">S/4HANA</t>
  </si>
  <si>
    <t xml:space="preserve">Oracle Fusion Financials</t>
  </si>
  <si>
    <t xml:space="preserve">Oracle</t>
  </si>
  <si>
    <t xml:space="preserve">Cloud-based general ledger, accounts payable, and accounts receivable platform.</t>
  </si>
  <si>
    <t xml:space="preserve">Finance Controller</t>
  </si>
  <si>
    <t xml:space="preserve">Oracle ERP Cloud</t>
  </si>
  <si>
    <t xml:space="preserve">Quarterly</t>
  </si>
  <si>
    <t xml:space="preserve">Workday Financial Management</t>
  </si>
  <si>
    <t xml:space="preserve">Workday</t>
  </si>
  <si>
    <t xml:space="preserve">Cloud financials with planning, accounting, and revenue management.</t>
  </si>
  <si>
    <t xml:space="preserve">Workday Financials</t>
  </si>
  <si>
    <t xml:space="preserve">Salesforce Sales Cloud</t>
  </si>
  <si>
    <t xml:space="preserve">Salesforce</t>
  </si>
  <si>
    <t xml:space="preserve">CRM platform used by the sales team to manage leads, opportunities, and customer accounts.</t>
  </si>
  <si>
    <t xml:space="preserve">VP of Sales</t>
  </si>
  <si>
    <t xml:space="preserve">Salesforce CRM</t>
  </si>
  <si>
    <t xml:space="preserve">Monthly</t>
  </si>
  <si>
    <t xml:space="preserve">Salesforce Service Cloud</t>
  </si>
  <si>
    <t xml:space="preserve">Customer service and case management platform integrated with the contact center.</t>
  </si>
  <si>
    <t xml:space="preserve">Head of Customer Service</t>
  </si>
  <si>
    <t xml:space="preserve">Service Cloud</t>
  </si>
  <si>
    <t xml:space="preserve">HubSpot Marketing Hub</t>
  </si>
  <si>
    <t xml:space="preserve">HubSpot</t>
  </si>
  <si>
    <t xml:space="preserve">Inbound marketing automation, email campaigns, and lead nurturing.</t>
  </si>
  <si>
    <t xml:space="preserve">CMO Office</t>
  </si>
  <si>
    <t xml:space="preserve">Microsoft Dynamics 365 Sales</t>
  </si>
  <si>
    <t xml:space="preserve">Microsoft</t>
  </si>
  <si>
    <t xml:space="preserve">Sales force automation with pipeline tracking and forecasting.</t>
  </si>
  <si>
    <t xml:space="preserve">Dynamics 365</t>
  </si>
  <si>
    <t xml:space="preserve">ServiceNow ITSM</t>
  </si>
  <si>
    <t xml:space="preserve">ServiceNow</t>
  </si>
  <si>
    <t xml:space="preserve">IT service management tool for helpdesk ticketing, change management, and asset inventory.</t>
  </si>
  <si>
    <t xml:space="preserve">IT Director</t>
  </si>
  <si>
    <t xml:space="preserve">Jira Service Management</t>
  </si>
  <si>
    <t xml:space="preserve">Atlassian</t>
  </si>
  <si>
    <t xml:space="preserve">Service desk for internal IT support and incident tracking.</t>
  </si>
  <si>
    <t xml:space="preserve">IT Operations Manager</t>
  </si>
  <si>
    <t xml:space="preserve">Jira SM</t>
  </si>
  <si>
    <t xml:space="preserve">BMC Helix ITSM</t>
  </si>
  <si>
    <t xml:space="preserve">BMC</t>
  </si>
  <si>
    <t xml:space="preserve">Enterprise service management with predictive analytics.</t>
  </si>
  <si>
    <t xml:space="preserve">Helix ITSM</t>
  </si>
  <si>
    <t xml:space="preserve">Splunk Enterprise</t>
  </si>
  <si>
    <t xml:space="preserve">Splunk</t>
  </si>
  <si>
    <t xml:space="preserve">Log aggregation and security information event management platform.</t>
  </si>
  <si>
    <t xml:space="preserve">CISO Office</t>
  </si>
  <si>
    <t xml:space="preserve">Workday HCM</t>
  </si>
  <si>
    <t xml:space="preserve">Human capital management covering payroll, talent, and benefits administration.</t>
  </si>
  <si>
    <t xml:space="preserve">CHRO Office</t>
  </si>
  <si>
    <t xml:space="preserve">SAP SuccessFactors</t>
  </si>
  <si>
    <t xml:space="preserve">Cloud HR suite for performance, learning, and recruiting.</t>
  </si>
  <si>
    <t xml:space="preserve">HR Director</t>
  </si>
  <si>
    <t xml:space="preserve">SuccessFactors</t>
  </si>
  <si>
    <t xml:space="preserve">ADP Workforce Now</t>
  </si>
  <si>
    <t xml:space="preserve">ADP</t>
  </si>
  <si>
    <t xml:space="preserve">Payroll processing and time-and-attendance management.</t>
  </si>
  <si>
    <t xml:space="preserve">Payroll Manager</t>
  </si>
  <si>
    <t xml:space="preserve">ADP WFN</t>
  </si>
  <si>
    <t xml:space="preserve">Greenhouse Recruiting</t>
  </si>
  <si>
    <t xml:space="preserve">Greenhouse</t>
  </si>
  <si>
    <t xml:space="preserve">Applicant tracking system for hiring and recruiting workflows.</t>
  </si>
  <si>
    <t xml:space="preserve">Talent Acquisition Lead</t>
  </si>
  <si>
    <t xml:space="preserve">Greenhouse ATS</t>
  </si>
  <si>
    <t xml:space="preserve">Microsoft 365 E5</t>
  </si>
  <si>
    <t xml:space="preserve">Productivity suite including Outlook, Teams, SharePoint, and OneDrive.</t>
  </si>
  <si>
    <t xml:space="preserve">Microsoft 365</t>
  </si>
  <si>
    <t xml:space="preserve">Slack Enterprise Grid</t>
  </si>
  <si>
    <t xml:space="preserve">Real-time team messaging and channel-based collaboration platform.</t>
  </si>
  <si>
    <t xml:space="preserve">Head of Internal Comms</t>
  </si>
  <si>
    <t xml:space="preserve">Slack</t>
  </si>
  <si>
    <t xml:space="preserve">Zoom Enterprise</t>
  </si>
  <si>
    <t xml:space="preserve">Zoom</t>
  </si>
  <si>
    <t xml:space="preserve">Video conferencing, webinars, and online meetings.</t>
  </si>
  <si>
    <t xml:space="preserve">Atlassian Confluence</t>
  </si>
  <si>
    <t xml:space="preserve">Team wiki and documentation collaboration tool.</t>
  </si>
  <si>
    <t xml:space="preserve">Engineering Manager</t>
  </si>
  <si>
    <t xml:space="preserve">Confluence</t>
  </si>
  <si>
    <t xml:space="preserve">Snowflake Data Cloud</t>
  </si>
  <si>
    <t xml:space="preserve">Snowflake</t>
  </si>
  <si>
    <t xml:space="preserve">Cloud data warehouse for analytics, data sharing, and ML workloads.</t>
  </si>
  <si>
    <t xml:space="preserve">Chief Data Officer</t>
  </si>
  <si>
    <t xml:space="preserve">Tableau Server</t>
  </si>
  <si>
    <t xml:space="preserve">Enterprise BI and data visualization platform.</t>
  </si>
  <si>
    <t xml:space="preserve">Analytics Lead</t>
  </si>
  <si>
    <t xml:space="preserve">Tableau</t>
  </si>
  <si>
    <t xml:space="preserve">Power BI Premium</t>
  </si>
  <si>
    <t xml:space="preserve">Self-service business intelligence and reporting.</t>
  </si>
  <si>
    <t xml:space="preserve">Power BI</t>
  </si>
  <si>
    <t xml:space="preserve">Databricks Lakehouse</t>
  </si>
  <si>
    <t xml:space="preserve">Databricks</t>
  </si>
  <si>
    <t xml:space="preserve">Unified data and ML platform on the lakehouse architecture.</t>
  </si>
  <si>
    <t xml:space="preserve">Informatica IICS</t>
  </si>
  <si>
    <t xml:space="preserve">Informatica</t>
  </si>
  <si>
    <t xml:space="preserve">Cloud data integration and ETL platform.</t>
  </si>
  <si>
    <t xml:space="preserve">Data Engineering Lead</t>
  </si>
  <si>
    <t xml:space="preserve">IICS</t>
  </si>
  <si>
    <t xml:space="preserve">CrowdStrike Falcon</t>
  </si>
  <si>
    <t xml:space="preserve">CrowdStrike</t>
  </si>
  <si>
    <t xml:space="preserve">Endpoint detection and response (EDR) security platform.</t>
  </si>
  <si>
    <t xml:space="preserve">Falcon</t>
  </si>
  <si>
    <t xml:space="preserve">Okta Identity Cloud</t>
  </si>
  <si>
    <t xml:space="preserve">Okta</t>
  </si>
  <si>
    <t xml:space="preserve">Identity and access management with SSO and MFA.</t>
  </si>
  <si>
    <t xml:space="preserve">Palo Alto Prisma Cloud</t>
  </si>
  <si>
    <t xml:space="preserve">Palo Alto Networks</t>
  </si>
  <si>
    <t xml:space="preserve">Cloud security posture management and workload protection.</t>
  </si>
  <si>
    <t xml:space="preserve">Prisma Cloud</t>
  </si>
  <si>
    <t xml:space="preserve">Half-Yearly</t>
  </si>
  <si>
    <t xml:space="preserve">CyberArk PAM</t>
  </si>
  <si>
    <t xml:space="preserve">CyberArk</t>
  </si>
  <si>
    <t xml:space="preserve">Privileged access management for sensitive accounts.</t>
  </si>
  <si>
    <t xml:space="preserve">SAP Ariba</t>
  </si>
  <si>
    <t xml:space="preserve">Procurement and supplier collaboration network.</t>
  </si>
  <si>
    <t xml:space="preserve">Chief Procurement Officer</t>
  </si>
  <si>
    <t xml:space="preserve">Ariba</t>
  </si>
  <si>
    <t xml:space="preserve">Coupa BSM</t>
  </si>
  <si>
    <t xml:space="preserve">Coupa</t>
  </si>
  <si>
    <t xml:space="preserve">Business spend management for procurement, invoicing, and expenses.</t>
  </si>
  <si>
    <t xml:space="preserve">Blue Yonder WMS</t>
  </si>
  <si>
    <t xml:space="preserve">Blue Yonder</t>
  </si>
  <si>
    <t xml:space="preserve">Warehouse management system for inventory and fulfillment.</t>
  </si>
  <si>
    <t xml:space="preserve">VP Supply Chain</t>
  </si>
  <si>
    <t xml:space="preserve">Adobe Experience Manager</t>
  </si>
  <si>
    <t xml:space="preserve">Adobe</t>
  </si>
  <si>
    <t xml:space="preserve">Web content management and digital experience platform.</t>
  </si>
  <si>
    <t xml:space="preserve">Head of Digital</t>
  </si>
  <si>
    <t xml:space="preserve">AEM</t>
  </si>
  <si>
    <t xml:space="preserve">Marketo Engage</t>
  </si>
  <si>
    <t xml:space="preserve">B2B marketing automation and lead management.</t>
  </si>
  <si>
    <t xml:space="preserve">Marketo</t>
  </si>
  <si>
    <t xml:space="preserve">Qualtrics XM</t>
  </si>
  <si>
    <t xml:space="preserve">Qualtrics</t>
  </si>
  <si>
    <t xml:space="preserve">Experience management for customer and employee surveys.</t>
  </si>
  <si>
    <t xml:space="preserve">Head of CX</t>
  </si>
  <si>
    <t xml:space="preserve">GitHub Enterprise</t>
  </si>
  <si>
    <t xml:space="preserve">Source code hosting, version control, and CI/CD pipelines.</t>
  </si>
  <si>
    <t xml:space="preserve">VP Engineering</t>
  </si>
  <si>
    <t xml:space="preserve">GitHub</t>
  </si>
  <si>
    <t xml:space="preserve">Jira Software</t>
  </si>
  <si>
    <t xml:space="preserve">Agile project management for software development teams.</t>
  </si>
  <si>
    <t xml:space="preserve">Jira</t>
  </si>
  <si>
    <t xml:space="preserve">Sonatype Nexus</t>
  </si>
  <si>
    <t xml:space="preserve">Sonatype</t>
  </si>
  <si>
    <t xml:space="preserve">Repository manager for build artifacts and dependency management.</t>
  </si>
  <si>
    <t xml:space="preserve">DevOps Lead</t>
  </si>
  <si>
    <t xml:space="preserve">Nexus Repo</t>
  </si>
  <si>
    <t xml:space="preserve">AWS Enterprise Support</t>
  </si>
  <si>
    <t xml:space="preserve">Amazon Web Services</t>
  </si>
  <si>
    <t xml:space="preserve">Cloud infrastructure with enterprise support for hosting and storage.</t>
  </si>
  <si>
    <t xml:space="preserve">Cloud Architect</t>
  </si>
  <si>
    <t xml:space="preserve">AWS</t>
  </si>
  <si>
    <t xml:space="preserve">Microsoft Azure</t>
  </si>
  <si>
    <t xml:space="preserve">Cloud platform for compute, storage, and PaaS services.</t>
  </si>
  <si>
    <t xml:space="preserve">Azure</t>
  </si>
  <si>
    <t xml:space="preserve">VMware vSphere</t>
  </si>
  <si>
    <t xml:space="preserve">Broadcom</t>
  </si>
  <si>
    <t xml:space="preserve">Server virtualization platform for the on-premise data center.</t>
  </si>
  <si>
    <t xml:space="preserve">Infrastructure Manager</t>
  </si>
  <si>
    <t xml:space="preserve">vSphere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</si>
</sst>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n">
        <v>850000</v>
      </c>
      <c r="G2" s="3" t="n">
        <v>170000</v>
      </c>
      <c r="H2" s="3" t="n">
        <f aca="false">F2+G2</f>
        <v>1020000</v>
      </c>
      <c r="I2" s="4" t="s">
        <v>15</v>
      </c>
      <c r="J2" s="4" t="s">
        <v>16</v>
      </c>
    </row>
    <row r="3" customFormat="false" ht="15" hidden="false" customHeight="false" outlineLevel="0" collapsed="false">
      <c r="A3" s="2" t="s">
        <v>17</v>
      </c>
      <c r="B3" s="2" t="s">
        <v>11</v>
      </c>
      <c r="C3" s="2" t="s">
        <v>18</v>
      </c>
      <c r="D3" s="2" t="s">
        <v>13</v>
      </c>
      <c r="E3" s="2" t="s">
        <v>19</v>
      </c>
      <c r="F3" s="3"/>
      <c r="G3" s="3"/>
      <c r="H3" s="3" t="n">
        <v>1250000</v>
      </c>
      <c r="I3" s="4" t="s">
        <v>15</v>
      </c>
      <c r="J3" s="4" t="s">
        <v>16</v>
      </c>
    </row>
    <row r="4" customFormat="false" ht="23.8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3" t="n">
        <v>620000</v>
      </c>
      <c r="G4" s="3" t="n">
        <v>124000</v>
      </c>
      <c r="H4" s="3" t="n">
        <f aca="false">F4+G4</f>
        <v>744000</v>
      </c>
      <c r="I4" s="4" t="s">
        <v>25</v>
      </c>
      <c r="J4" s="4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13</v>
      </c>
      <c r="E5" s="2" t="s">
        <v>29</v>
      </c>
      <c r="F5" s="3"/>
      <c r="G5" s="3"/>
      <c r="H5" s="3" t="n">
        <v>480000</v>
      </c>
      <c r="I5" s="4" t="s">
        <v>15</v>
      </c>
      <c r="J5" s="4" t="s">
        <v>16</v>
      </c>
    </row>
    <row r="6" customFormat="false" ht="23.8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3"/>
      <c r="G6" s="3"/>
      <c r="H6" s="3" t="n">
        <v>360000</v>
      </c>
      <c r="I6" s="4" t="s">
        <v>35</v>
      </c>
      <c r="J6" s="4" t="s">
        <v>16</v>
      </c>
    </row>
    <row r="7" customFormat="false" ht="23.85" hidden="false" customHeight="false" outlineLevel="0" collapsed="false">
      <c r="A7" s="2" t="s">
        <v>36</v>
      </c>
      <c r="B7" s="2" t="s">
        <v>31</v>
      </c>
      <c r="C7" s="2" t="s">
        <v>37</v>
      </c>
      <c r="D7" s="2" t="s">
        <v>38</v>
      </c>
      <c r="E7" s="2" t="s">
        <v>39</v>
      </c>
      <c r="F7" s="3"/>
      <c r="G7" s="3"/>
      <c r="H7" s="3" t="n">
        <v>215000</v>
      </c>
      <c r="I7" s="4" t="s">
        <v>35</v>
      </c>
      <c r="J7" s="4" t="s">
        <v>16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41</v>
      </c>
      <c r="F8" s="3"/>
      <c r="G8" s="3"/>
      <c r="H8" s="3" t="n">
        <v>84000</v>
      </c>
      <c r="I8" s="4" t="s">
        <v>35</v>
      </c>
      <c r="J8" s="4" t="s">
        <v>16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33</v>
      </c>
      <c r="E9" s="2" t="s">
        <v>47</v>
      </c>
      <c r="F9" s="3" t="n">
        <v>145000</v>
      </c>
      <c r="G9" s="3" t="n">
        <v>29000</v>
      </c>
      <c r="H9" s="3" t="n">
        <f aca="false">F9+G9</f>
        <v>174000</v>
      </c>
      <c r="I9" s="4" t="s">
        <v>15</v>
      </c>
      <c r="J9" s="4" t="s">
        <v>16</v>
      </c>
    </row>
    <row r="10" customFormat="false" ht="23.8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48</v>
      </c>
      <c r="F10" s="3"/>
      <c r="G10" s="3"/>
      <c r="H10" s="3" t="n">
        <v>295000</v>
      </c>
      <c r="I10" s="4" t="s">
        <v>15</v>
      </c>
      <c r="J10" s="4" t="s">
        <v>16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3" t="n">
        <v>48000</v>
      </c>
      <c r="G11" s="3" t="n">
        <v>9600</v>
      </c>
      <c r="H11" s="3" t="n">
        <f aca="false">F11+G11</f>
        <v>57600</v>
      </c>
      <c r="I11" s="4" t="s">
        <v>15</v>
      </c>
      <c r="J11" s="4" t="s">
        <v>16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51</v>
      </c>
      <c r="E12" s="2" t="s">
        <v>60</v>
      </c>
      <c r="F12" s="3" t="n">
        <v>180000</v>
      </c>
      <c r="G12" s="3" t="n">
        <v>36000</v>
      </c>
      <c r="H12" s="3" t="n">
        <f aca="false">F12+G12</f>
        <v>216000</v>
      </c>
      <c r="I12" s="4" t="s">
        <v>25</v>
      </c>
      <c r="J12" s="4" t="s">
        <v>16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62</v>
      </c>
      <c r="F13" s="3" t="n">
        <v>320000</v>
      </c>
      <c r="G13" s="3"/>
      <c r="H13" s="3" t="n">
        <f aca="false">F13</f>
        <v>320000</v>
      </c>
      <c r="I13" s="4" t="s">
        <v>15</v>
      </c>
      <c r="J13" s="4" t="s">
        <v>16</v>
      </c>
    </row>
    <row r="14" customFormat="false" ht="23.85" hidden="false" customHeight="false" outlineLevel="0" collapsed="false">
      <c r="A14" s="2" t="s">
        <v>65</v>
      </c>
      <c r="B14" s="2" t="s">
        <v>27</v>
      </c>
      <c r="C14" s="2" t="s">
        <v>66</v>
      </c>
      <c r="D14" s="2" t="s">
        <v>67</v>
      </c>
      <c r="E14" s="2" t="s">
        <v>65</v>
      </c>
      <c r="F14" s="3"/>
      <c r="G14" s="3"/>
      <c r="H14" s="3" t="n">
        <v>410000</v>
      </c>
      <c r="I14" s="4" t="s">
        <v>15</v>
      </c>
      <c r="J14" s="4" t="s">
        <v>16</v>
      </c>
    </row>
    <row r="15" customFormat="false" ht="15" hidden="false" customHeight="false" outlineLevel="0" collapsed="false">
      <c r="A15" s="2" t="s">
        <v>68</v>
      </c>
      <c r="B15" s="2" t="s">
        <v>11</v>
      </c>
      <c r="C15" s="2" t="s">
        <v>69</v>
      </c>
      <c r="D15" s="2" t="s">
        <v>70</v>
      </c>
      <c r="E15" s="2" t="s">
        <v>71</v>
      </c>
      <c r="F15" s="3"/>
      <c r="G15" s="3"/>
      <c r="H15" s="3" t="n">
        <v>275000</v>
      </c>
      <c r="I15" s="4" t="s">
        <v>15</v>
      </c>
      <c r="J15" s="4" t="s">
        <v>16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3"/>
      <c r="G16" s="3"/>
      <c r="H16" s="3" t="n">
        <v>96000</v>
      </c>
      <c r="I16" s="4" t="s">
        <v>35</v>
      </c>
      <c r="J16" s="4" t="s">
        <v>16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3"/>
      <c r="G17" s="3"/>
      <c r="H17" s="3" t="n">
        <v>54000</v>
      </c>
      <c r="I17" s="4" t="s">
        <v>15</v>
      </c>
      <c r="J17" s="4" t="s">
        <v>16</v>
      </c>
    </row>
    <row r="18" customFormat="false" ht="15" hidden="false" customHeight="false" outlineLevel="0" collapsed="false">
      <c r="A18" s="2" t="s">
        <v>82</v>
      </c>
      <c r="B18" s="2" t="s">
        <v>45</v>
      </c>
      <c r="C18" s="2" t="s">
        <v>83</v>
      </c>
      <c r="D18" s="2" t="s">
        <v>51</v>
      </c>
      <c r="E18" s="2" t="s">
        <v>84</v>
      </c>
      <c r="F18" s="3"/>
      <c r="G18" s="3"/>
      <c r="H18" s="3" t="n">
        <v>720000</v>
      </c>
      <c r="I18" s="4" t="s">
        <v>35</v>
      </c>
      <c r="J18" s="4" t="s">
        <v>16</v>
      </c>
    </row>
    <row r="19" customFormat="false" ht="15" hidden="false" customHeight="false" outlineLevel="0" collapsed="false">
      <c r="A19" s="2" t="s">
        <v>85</v>
      </c>
      <c r="B19" s="2" t="s">
        <v>31</v>
      </c>
      <c r="C19" s="2" t="s">
        <v>86</v>
      </c>
      <c r="D19" s="2" t="s">
        <v>87</v>
      </c>
      <c r="E19" s="2" t="s">
        <v>88</v>
      </c>
      <c r="F19" s="3"/>
      <c r="G19" s="3"/>
      <c r="H19" s="3" t="n">
        <v>132000</v>
      </c>
      <c r="I19" s="4" t="s">
        <v>35</v>
      </c>
      <c r="J19" s="4" t="s">
        <v>16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91</v>
      </c>
      <c r="D20" s="2" t="s">
        <v>51</v>
      </c>
      <c r="E20" s="2" t="s">
        <v>90</v>
      </c>
      <c r="F20" s="3"/>
      <c r="G20" s="3"/>
      <c r="H20" s="3" t="n">
        <v>78000</v>
      </c>
      <c r="I20" s="4" t="s">
        <v>15</v>
      </c>
      <c r="J20" s="4" t="s">
        <v>16</v>
      </c>
    </row>
    <row r="21" customFormat="false" ht="15" hidden="false" customHeight="false" outlineLevel="0" collapsed="false">
      <c r="A21" s="2" t="s">
        <v>92</v>
      </c>
      <c r="B21" s="2" t="s">
        <v>53</v>
      </c>
      <c r="C21" s="2" t="s">
        <v>93</v>
      </c>
      <c r="D21" s="2" t="s">
        <v>94</v>
      </c>
      <c r="E21" s="2" t="s">
        <v>95</v>
      </c>
      <c r="F21" s="3" t="n">
        <v>32000</v>
      </c>
      <c r="G21" s="3" t="n">
        <v>6400</v>
      </c>
      <c r="H21" s="3" t="n">
        <f aca="false">F21+G21</f>
        <v>38400</v>
      </c>
      <c r="I21" s="4" t="s">
        <v>15</v>
      </c>
      <c r="J21" s="4" t="s">
        <v>16</v>
      </c>
    </row>
    <row r="22" customFormat="false" ht="15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97</v>
      </c>
      <c r="F22" s="3"/>
      <c r="G22" s="3"/>
      <c r="H22" s="3" t="n">
        <v>540000</v>
      </c>
      <c r="I22" s="4" t="s">
        <v>35</v>
      </c>
      <c r="J22" s="4" t="s">
        <v>16</v>
      </c>
    </row>
    <row r="23" customFormat="false" ht="15" hidden="false" customHeight="false" outlineLevel="0" collapsed="false">
      <c r="A23" s="2" t="s">
        <v>100</v>
      </c>
      <c r="B23" s="2" t="s">
        <v>31</v>
      </c>
      <c r="C23" s="2" t="s">
        <v>101</v>
      </c>
      <c r="D23" s="2" t="s">
        <v>102</v>
      </c>
      <c r="E23" s="2" t="s">
        <v>103</v>
      </c>
      <c r="F23" s="3" t="n">
        <v>110000</v>
      </c>
      <c r="G23" s="3" t="n">
        <v>22000</v>
      </c>
      <c r="H23" s="3" t="n">
        <f aca="false">F23+G23</f>
        <v>132000</v>
      </c>
      <c r="I23" s="4" t="s">
        <v>15</v>
      </c>
      <c r="J23" s="4" t="s">
        <v>16</v>
      </c>
    </row>
    <row r="24" customFormat="false" ht="15" hidden="false" customHeight="false" outlineLevel="0" collapsed="false">
      <c r="A24" s="2" t="s">
        <v>104</v>
      </c>
      <c r="B24" s="2" t="s">
        <v>45</v>
      </c>
      <c r="C24" s="2" t="s">
        <v>105</v>
      </c>
      <c r="D24" s="2" t="s">
        <v>102</v>
      </c>
      <c r="E24" s="2" t="s">
        <v>106</v>
      </c>
      <c r="F24" s="3"/>
      <c r="G24" s="3"/>
      <c r="H24" s="3" t="n">
        <v>88000</v>
      </c>
      <c r="I24" s="4" t="s">
        <v>35</v>
      </c>
      <c r="J24" s="4" t="s">
        <v>16</v>
      </c>
    </row>
    <row r="25" customFormat="false" ht="15" hidden="false" customHeight="false" outlineLevel="0" collapsed="false">
      <c r="A25" s="2" t="s">
        <v>107</v>
      </c>
      <c r="B25" s="2" t="s">
        <v>108</v>
      </c>
      <c r="C25" s="2" t="s">
        <v>109</v>
      </c>
      <c r="D25" s="2" t="s">
        <v>99</v>
      </c>
      <c r="E25" s="2" t="s">
        <v>108</v>
      </c>
      <c r="F25" s="3"/>
      <c r="G25" s="3"/>
      <c r="H25" s="3" t="n">
        <v>620000</v>
      </c>
      <c r="I25" s="4" t="s">
        <v>25</v>
      </c>
      <c r="J25" s="4" t="s">
        <v>16</v>
      </c>
    </row>
    <row r="26" customFormat="false" ht="15" hidden="false" customHeight="false" outlineLevel="0" collapsed="false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114</v>
      </c>
      <c r="F26" s="3" t="n">
        <v>215000</v>
      </c>
      <c r="G26" s="3" t="n">
        <v>43000</v>
      </c>
      <c r="H26" s="3" t="n">
        <f aca="false">F26+G26</f>
        <v>258000</v>
      </c>
      <c r="I26" s="4" t="s">
        <v>15</v>
      </c>
      <c r="J26" s="4" t="s">
        <v>16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2" t="s">
        <v>64</v>
      </c>
      <c r="E27" s="2" t="s">
        <v>118</v>
      </c>
      <c r="F27" s="3"/>
      <c r="G27" s="3"/>
      <c r="H27" s="3" t="n">
        <v>240000</v>
      </c>
      <c r="I27" s="4" t="s">
        <v>15</v>
      </c>
      <c r="J27" s="4" t="s">
        <v>16</v>
      </c>
    </row>
    <row r="28" customFormat="false" ht="15" hidden="false" customHeight="false" outlineLevel="0" collapsed="false">
      <c r="A28" s="2" t="s">
        <v>119</v>
      </c>
      <c r="B28" s="2" t="s">
        <v>120</v>
      </c>
      <c r="C28" s="2" t="s">
        <v>121</v>
      </c>
      <c r="D28" s="2" t="s">
        <v>64</v>
      </c>
      <c r="E28" s="2" t="s">
        <v>120</v>
      </c>
      <c r="F28" s="3"/>
      <c r="G28" s="3"/>
      <c r="H28" s="3" t="n">
        <v>145000</v>
      </c>
      <c r="I28" s="4" t="s">
        <v>35</v>
      </c>
      <c r="J28" s="4" t="s">
        <v>16</v>
      </c>
    </row>
    <row r="29" customFormat="false" ht="15" hidden="false" customHeight="false" outlineLevel="0" collapsed="false">
      <c r="A29" s="2" t="s">
        <v>122</v>
      </c>
      <c r="B29" s="2" t="s">
        <v>123</v>
      </c>
      <c r="C29" s="2" t="s">
        <v>124</v>
      </c>
      <c r="D29" s="2" t="s">
        <v>64</v>
      </c>
      <c r="E29" s="2" t="s">
        <v>125</v>
      </c>
      <c r="F29" s="3" t="n">
        <v>195000</v>
      </c>
      <c r="G29" s="3" t="n">
        <v>39000</v>
      </c>
      <c r="H29" s="3" t="n">
        <f aca="false">F29+G29</f>
        <v>234000</v>
      </c>
      <c r="I29" s="4" t="s">
        <v>126</v>
      </c>
      <c r="J29" s="4" t="s">
        <v>16</v>
      </c>
    </row>
    <row r="30" customFormat="false" ht="15" hidden="false" customHeight="false" outlineLevel="0" collapsed="false">
      <c r="A30" s="2" t="s">
        <v>127</v>
      </c>
      <c r="B30" s="2" t="s">
        <v>128</v>
      </c>
      <c r="C30" s="2" t="s">
        <v>129</v>
      </c>
      <c r="D30" s="2" t="s">
        <v>64</v>
      </c>
      <c r="E30" s="2" t="s">
        <v>128</v>
      </c>
      <c r="F30" s="3" t="n">
        <v>165000</v>
      </c>
      <c r="G30" s="3" t="n">
        <v>33000</v>
      </c>
      <c r="H30" s="3" t="n">
        <f aca="false">F30+G30</f>
        <v>198000</v>
      </c>
      <c r="I30" s="4" t="s">
        <v>15</v>
      </c>
      <c r="J30" s="4" t="s">
        <v>16</v>
      </c>
    </row>
    <row r="31" customFormat="false" ht="15" hidden="false" customHeight="false" outlineLevel="0" collapsed="false">
      <c r="A31" s="2" t="s">
        <v>130</v>
      </c>
      <c r="B31" s="2" t="s">
        <v>11</v>
      </c>
      <c r="C31" s="2" t="s">
        <v>131</v>
      </c>
      <c r="D31" s="2" t="s">
        <v>132</v>
      </c>
      <c r="E31" s="2" t="s">
        <v>133</v>
      </c>
      <c r="F31" s="3"/>
      <c r="G31" s="3"/>
      <c r="H31" s="3" t="n">
        <v>285000</v>
      </c>
      <c r="I31" s="4" t="s">
        <v>15</v>
      </c>
      <c r="J31" s="4" t="s">
        <v>16</v>
      </c>
    </row>
    <row r="32" customFormat="false" ht="15" hidden="false" customHeight="false" outlineLevel="0" collapsed="false">
      <c r="A32" s="2" t="s">
        <v>134</v>
      </c>
      <c r="B32" s="2" t="s">
        <v>135</v>
      </c>
      <c r="C32" s="2" t="s">
        <v>136</v>
      </c>
      <c r="D32" s="2" t="s">
        <v>132</v>
      </c>
      <c r="E32" s="2" t="s">
        <v>135</v>
      </c>
      <c r="F32" s="3"/>
      <c r="G32" s="3"/>
      <c r="H32" s="3" t="n">
        <v>195000</v>
      </c>
      <c r="I32" s="4" t="s">
        <v>15</v>
      </c>
      <c r="J32" s="4" t="s">
        <v>16</v>
      </c>
    </row>
    <row r="33" customFormat="false" ht="15" hidden="false" customHeight="false" outlineLevel="0" collapsed="false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137</v>
      </c>
      <c r="F33" s="3" t="n">
        <v>140000</v>
      </c>
      <c r="G33" s="3" t="n">
        <v>28000</v>
      </c>
      <c r="H33" s="3" t="n">
        <f aca="false">F33+G33</f>
        <v>168000</v>
      </c>
      <c r="I33" s="4" t="s">
        <v>25</v>
      </c>
      <c r="J33" s="4" t="s">
        <v>16</v>
      </c>
    </row>
    <row r="34" customFormat="false" ht="15" hidden="false" customHeight="false" outlineLevel="0" collapsed="false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3" t="n">
        <v>280000</v>
      </c>
      <c r="G34" s="3" t="n">
        <v>56000</v>
      </c>
      <c r="H34" s="3" t="n">
        <f aca="false">F34+G34</f>
        <v>336000</v>
      </c>
      <c r="I34" s="4" t="s">
        <v>15</v>
      </c>
      <c r="J34" s="4" t="s">
        <v>16</v>
      </c>
    </row>
    <row r="35" customFormat="false" ht="15" hidden="false" customHeight="false" outlineLevel="0" collapsed="false">
      <c r="A35" s="2" t="s">
        <v>146</v>
      </c>
      <c r="B35" s="2" t="s">
        <v>142</v>
      </c>
      <c r="C35" s="2" t="s">
        <v>147</v>
      </c>
      <c r="D35" s="2" t="s">
        <v>43</v>
      </c>
      <c r="E35" s="2" t="s">
        <v>148</v>
      </c>
      <c r="F35" s="3"/>
      <c r="G35" s="3"/>
      <c r="H35" s="3" t="n">
        <v>165000</v>
      </c>
      <c r="I35" s="4" t="s">
        <v>15</v>
      </c>
      <c r="J35" s="4" t="s">
        <v>16</v>
      </c>
    </row>
    <row r="36" customFormat="false" ht="15" hidden="false" customHeight="false" outlineLevel="0" collapsed="false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150</v>
      </c>
      <c r="F36" s="3"/>
      <c r="G36" s="3"/>
      <c r="H36" s="3" t="n">
        <v>72000</v>
      </c>
      <c r="I36" s="4" t="s">
        <v>15</v>
      </c>
      <c r="J36" s="4" t="s">
        <v>16</v>
      </c>
    </row>
    <row r="37" customFormat="false" ht="15" hidden="false" customHeight="false" outlineLevel="0" collapsed="false">
      <c r="A37" s="2" t="s">
        <v>153</v>
      </c>
      <c r="B37" s="2" t="s">
        <v>45</v>
      </c>
      <c r="C37" s="2" t="s">
        <v>154</v>
      </c>
      <c r="D37" s="2" t="s">
        <v>155</v>
      </c>
      <c r="E37" s="2" t="s">
        <v>156</v>
      </c>
      <c r="F37" s="3"/>
      <c r="G37" s="3"/>
      <c r="H37" s="3" t="n">
        <v>96000</v>
      </c>
      <c r="I37" s="4" t="s">
        <v>35</v>
      </c>
      <c r="J37" s="4" t="s">
        <v>16</v>
      </c>
    </row>
    <row r="38" customFormat="false" ht="15" hidden="false" customHeight="false" outlineLevel="0" collapsed="false">
      <c r="A38" s="2" t="s">
        <v>157</v>
      </c>
      <c r="B38" s="2" t="s">
        <v>53</v>
      </c>
      <c r="C38" s="2" t="s">
        <v>158</v>
      </c>
      <c r="D38" s="2" t="s">
        <v>155</v>
      </c>
      <c r="E38" s="2" t="s">
        <v>159</v>
      </c>
      <c r="F38" s="3" t="n">
        <v>64000</v>
      </c>
      <c r="G38" s="3" t="n">
        <v>12800</v>
      </c>
      <c r="H38" s="3" t="n">
        <f aca="false">F38+G38</f>
        <v>76800</v>
      </c>
      <c r="I38" s="4" t="s">
        <v>15</v>
      </c>
      <c r="J38" s="4" t="s">
        <v>16</v>
      </c>
    </row>
    <row r="39" customFormat="false" ht="15" hidden="false" customHeight="false" outlineLevel="0" collapsed="false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3" t="n">
        <v>38000</v>
      </c>
      <c r="G39" s="3"/>
      <c r="H39" s="3" t="n">
        <f aca="false">F39</f>
        <v>38000</v>
      </c>
      <c r="I39" s="4" t="s">
        <v>15</v>
      </c>
      <c r="J39" s="4" t="s">
        <v>16</v>
      </c>
    </row>
    <row r="40" customFormat="false" ht="15" hidden="false" customHeight="false" outlineLevel="0" collapsed="false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169</v>
      </c>
      <c r="F40" s="3"/>
      <c r="G40" s="3"/>
      <c r="H40" s="3" t="n">
        <v>1450000</v>
      </c>
      <c r="I40" s="4" t="s">
        <v>35</v>
      </c>
      <c r="J40" s="4" t="s">
        <v>16</v>
      </c>
    </row>
    <row r="41" customFormat="false" ht="15" hidden="false" customHeight="false" outlineLevel="0" collapsed="false">
      <c r="A41" s="2" t="s">
        <v>170</v>
      </c>
      <c r="B41" s="2" t="s">
        <v>45</v>
      </c>
      <c r="C41" s="2" t="s">
        <v>171</v>
      </c>
      <c r="D41" s="2" t="s">
        <v>168</v>
      </c>
      <c r="E41" s="2" t="s">
        <v>172</v>
      </c>
      <c r="F41" s="3"/>
      <c r="G41" s="3"/>
      <c r="H41" s="3" t="n">
        <v>980000</v>
      </c>
      <c r="I41" s="4" t="s">
        <v>35</v>
      </c>
      <c r="J41" s="4" t="s">
        <v>16</v>
      </c>
    </row>
    <row r="42" customFormat="false" ht="15" hidden="false" customHeight="false" outlineLevel="0" collapsed="false">
      <c r="A42" s="2" t="s">
        <v>173</v>
      </c>
      <c r="B42" s="2" t="s">
        <v>174</v>
      </c>
      <c r="C42" s="2" t="s">
        <v>175</v>
      </c>
      <c r="D42" s="2" t="s">
        <v>176</v>
      </c>
      <c r="E42" s="2" t="s">
        <v>177</v>
      </c>
      <c r="F42" s="3" t="n">
        <v>320000</v>
      </c>
      <c r="G42" s="3" t="n">
        <v>64000</v>
      </c>
      <c r="H42" s="3" t="n">
        <f aca="false">F42+G42</f>
        <v>384000</v>
      </c>
      <c r="I42" s="4" t="s">
        <v>15</v>
      </c>
      <c r="J4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2026-05-20T04:43:07Z</dcterms:created>
  <dc:creator>openpyxl</dc:creator>
  <dc:description/>
  <dc:language>en-US</dc:language>
  <cp:lastModifiedBy/>
  <dcterms:modified xsi:type="dcterms:W3CDTF">2026-05-20T04:43:07Z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